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caratti/Desenvolvimento/eu/Arduino/DSP/si4844/SI4844/extras/"/>
    </mc:Choice>
  </mc:AlternateContent>
  <xr:revisionPtr revIDLastSave="0" documentId="13_ncr:1_{2E3D0D3B-9197-A045-8A5D-A23EB534EA8C}" xr6:coauthVersionLast="47" xr6:coauthVersionMax="47" xr10:uidLastSave="{00000000-0000-0000-0000-000000000000}"/>
  <bookViews>
    <workbookView xWindow="2240" yWindow="1560" windowWidth="28840" windowHeight="17740" tabRatio="500" xr2:uid="{00000000-000D-0000-FFFF-FFFF00000000}"/>
  </bookViews>
  <sheets>
    <sheet name="tab_band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G3" i="1" l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G43" i="1" s="1"/>
  <c r="H3" i="1" a="1"/>
  <c r="H3" i="1" l="1"/>
  <c r="G35" i="1"/>
  <c r="G36" i="1"/>
  <c r="G37" i="1"/>
  <c r="G28" i="1"/>
  <c r="G38" i="1"/>
  <c r="G29" i="1"/>
  <c r="G39" i="1"/>
  <c r="G30" i="1"/>
  <c r="G40" i="1"/>
  <c r="G31" i="1"/>
  <c r="G41" i="1"/>
  <c r="G32" i="1"/>
  <c r="G42" i="1"/>
  <c r="G33" i="1"/>
  <c r="G34" i="1"/>
  <c r="G22" i="1"/>
  <c r="G13" i="1"/>
  <c r="G4" i="1"/>
  <c r="G5" i="1"/>
  <c r="G15" i="1"/>
  <c r="G25" i="1"/>
  <c r="G8" i="1"/>
  <c r="G18" i="1"/>
  <c r="G9" i="1"/>
  <c r="G19" i="1"/>
  <c r="G10" i="1"/>
  <c r="G20" i="1"/>
  <c r="G11" i="1"/>
  <c r="G21" i="1"/>
  <c r="G12" i="1"/>
  <c r="G23" i="1"/>
  <c r="G14" i="1"/>
  <c r="G6" i="1"/>
  <c r="G16" i="1"/>
  <c r="G26" i="1"/>
  <c r="G24" i="1"/>
  <c r="G7" i="1"/>
  <c r="G17" i="1"/>
  <c r="G27" i="1"/>
  <c r="H31" i="1" a="1"/>
  <c r="H19" i="1" a="1"/>
  <c r="H20" i="1" a="1"/>
  <c r="H37" i="1" a="1"/>
  <c r="H29" i="1" a="1"/>
  <c r="H23" i="1" a="1"/>
  <c r="H27" i="1" a="1"/>
  <c r="H39" i="1" a="1"/>
  <c r="H30" i="1" a="1"/>
  <c r="H22" i="1" a="1"/>
  <c r="H43" i="1" a="1"/>
  <c r="H11" i="1" a="1"/>
  <c r="H6" i="1" a="1"/>
  <c r="H34" i="1" a="1"/>
  <c r="H36" i="1" a="1"/>
  <c r="H7" i="1" a="1"/>
  <c r="H18" i="1" a="1"/>
  <c r="H4" i="1" a="1"/>
  <c r="H32" i="1" a="1"/>
  <c r="H35" i="1" a="1"/>
  <c r="H15" i="1" a="1"/>
  <c r="H14" i="1" a="1"/>
  <c r="H9" i="1" a="1"/>
  <c r="H10" i="1" a="1"/>
  <c r="H8" i="1" a="1"/>
  <c r="H13" i="1" a="1"/>
  <c r="H40" i="1" a="1"/>
  <c r="H42" i="1" a="1"/>
  <c r="H28" i="1" a="1"/>
  <c r="H24" i="1" a="1"/>
  <c r="H16" i="1" a="1"/>
  <c r="H17" i="1" a="1"/>
  <c r="H33" i="1" a="1"/>
  <c r="H25" i="1" a="1"/>
  <c r="H41" i="1" a="1"/>
  <c r="H5" i="1" a="1"/>
  <c r="H38" i="1" a="1"/>
  <c r="H26" i="1" a="1"/>
  <c r="H12" i="1" a="1"/>
  <c r="H21" i="1" a="1"/>
  <c r="H21" i="1" l="1"/>
  <c r="H11" i="1"/>
  <c r="H13" i="1"/>
  <c r="H24" i="1"/>
  <c r="H19" i="1"/>
  <c r="H38" i="1"/>
  <c r="H9" i="1"/>
  <c r="H33" i="1"/>
  <c r="H28" i="1"/>
  <c r="H6" i="1"/>
  <c r="H18" i="1"/>
  <c r="H42" i="1"/>
  <c r="H37" i="1"/>
  <c r="H14" i="1"/>
  <c r="H8" i="1"/>
  <c r="H32" i="1"/>
  <c r="H36" i="1"/>
  <c r="H27" i="1"/>
  <c r="H40" i="1"/>
  <c r="H30" i="1"/>
  <c r="H7" i="1"/>
  <c r="H39" i="1"/>
  <c r="H22" i="1"/>
  <c r="H5" i="1"/>
  <c r="H17" i="1"/>
  <c r="H4" i="1"/>
  <c r="H43" i="1"/>
  <c r="H20" i="1"/>
  <c r="H10" i="1"/>
  <c r="H29" i="1"/>
  <c r="H26" i="1"/>
  <c r="H34" i="1"/>
  <c r="H16" i="1"/>
  <c r="H23" i="1"/>
  <c r="H25" i="1"/>
  <c r="H41" i="1"/>
  <c r="H35" i="1"/>
  <c r="H12" i="1"/>
  <c r="H15" i="1"/>
  <c r="H31" i="1"/>
  <c r="H4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tc={31A50947-F23D-064F-A3CD-826CA2FD1B9C}</author>
  </authors>
  <commentList>
    <comment ref="F1" authorId="0" shapeId="0" xr:uid="{31A50947-F23D-064F-A3CD-826CA2FD1B9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Set the cell to 1 if you want to use this band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<sst xmlns="http://schemas.openxmlformats.org/spreadsheetml/2006/main" count="186" uniqueCount="85">
  <si>
    <t>Band Index</t>
  </si>
  <si>
    <t xml:space="preserve"> Band Name</t>
  </si>
  <si>
    <t xml:space="preserve"> Band Freq</t>
  </si>
  <si>
    <t>R (K)</t>
  </si>
  <si>
    <t>AR (K)</t>
  </si>
  <si>
    <t xml:space="preserve"> De-emphasis (FM) / Channel Space (AM)</t>
  </si>
  <si>
    <t xml:space="preserve"> Stereo Separation* &amp; RSSI Thresholds</t>
  </si>
  <si>
    <t>FM1</t>
  </si>
  <si>
    <t xml:space="preserve"> 87–108MHz</t>
  </si>
  <si>
    <t>75 µs 6 dB separation</t>
  </si>
  <si>
    <t xml:space="preserve"> RSSI = 20</t>
  </si>
  <si>
    <t>75 µs 12 dB separation</t>
  </si>
  <si>
    <t xml:space="preserve"> RSSI = 28</t>
  </si>
  <si>
    <t>50 µs 6 dB separation</t>
  </si>
  <si>
    <t>50 µs 12 dB separation</t>
  </si>
  <si>
    <t>FM2</t>
  </si>
  <si>
    <t xml:space="preserve"> 86.5–109MHz</t>
  </si>
  <si>
    <t>FM3</t>
  </si>
  <si>
    <t xml:space="preserve"> 87.3–108.25MHz</t>
  </si>
  <si>
    <t>FM4</t>
  </si>
  <si>
    <t xml:space="preserve"> 76–90MHz</t>
  </si>
  <si>
    <t>FM5</t>
  </si>
  <si>
    <t xml:space="preserve"> 64–87MHz</t>
  </si>
  <si>
    <t>75µs 6 dB separation</t>
  </si>
  <si>
    <t>AM1</t>
  </si>
  <si>
    <t xml:space="preserve"> 520–1710 kHz</t>
  </si>
  <si>
    <t xml:space="preserve"> 10 kHz</t>
  </si>
  <si>
    <t xml:space="preserve">  -</t>
  </si>
  <si>
    <t>AM2</t>
  </si>
  <si>
    <t xml:space="preserve"> 522–1620 kHz</t>
  </si>
  <si>
    <t xml:space="preserve"> 9 kHz</t>
  </si>
  <si>
    <t>AM3</t>
  </si>
  <si>
    <t xml:space="preserve"> 504–1665 kHz</t>
  </si>
  <si>
    <t>AM4</t>
  </si>
  <si>
    <t xml:space="preserve"> 520–1730 kHz</t>
  </si>
  <si>
    <t>AM5</t>
  </si>
  <si>
    <t xml:space="preserve"> 510–1750 kHz</t>
  </si>
  <si>
    <t>SW1</t>
  </si>
  <si>
    <t xml:space="preserve"> 5.6–6.4 MHz</t>
  </si>
  <si>
    <t xml:space="preserve"> - </t>
  </si>
  <si>
    <t>SW2</t>
  </si>
  <si>
    <t xml:space="preserve"> 5.9–56.2 MHz</t>
  </si>
  <si>
    <t>SW3</t>
  </si>
  <si>
    <t xml:space="preserve"> 6.8–7.6 MHz</t>
  </si>
  <si>
    <t>SW4</t>
  </si>
  <si>
    <t xml:space="preserve"> 7.1–7.6 MHz</t>
  </si>
  <si>
    <t>SW5</t>
  </si>
  <si>
    <t xml:space="preserve"> 9.2–10 MHz</t>
  </si>
  <si>
    <t>SW6</t>
  </si>
  <si>
    <t xml:space="preserve"> 9.2–9.9 MHz</t>
  </si>
  <si>
    <t>SW7</t>
  </si>
  <si>
    <t xml:space="preserve"> 11.45–12.25 MHz</t>
  </si>
  <si>
    <t>SW8</t>
  </si>
  <si>
    <t xml:space="preserve"> 11.6–12.2 MHz</t>
  </si>
  <si>
    <t>SW9</t>
  </si>
  <si>
    <t xml:space="preserve"> 13.4–14.2 MHz</t>
  </si>
  <si>
    <t>SW10</t>
  </si>
  <si>
    <t xml:space="preserve"> 13.57–13.87 MHz</t>
  </si>
  <si>
    <t>SW11</t>
  </si>
  <si>
    <t xml:space="preserve"> 15–15.9 MHz</t>
  </si>
  <si>
    <t>SW12</t>
  </si>
  <si>
    <t xml:space="preserve"> 15.1–15.8 MHz</t>
  </si>
  <si>
    <t>SW13</t>
  </si>
  <si>
    <t xml:space="preserve"> 17.1–18 MHz</t>
  </si>
  <si>
    <t>SW14</t>
  </si>
  <si>
    <t xml:space="preserve"> 17.48–17.9 MHz</t>
  </si>
  <si>
    <t>SW15</t>
  </si>
  <si>
    <t xml:space="preserve"> 21.2–22 MHz</t>
  </si>
  <si>
    <t>SW16</t>
  </si>
  <si>
    <t xml:space="preserve"> 21.45–21.85 MHz</t>
  </si>
  <si>
    <t xml:space="preserve">  - </t>
  </si>
  <si>
    <t>Band Plan</t>
  </si>
  <si>
    <t>Added Resistor (K)</t>
  </si>
  <si>
    <t>Top Resistor</t>
  </si>
  <si>
    <t>Botton Resistor</t>
  </si>
  <si>
    <t>Set to 1 if  you want to use this band</t>
  </si>
  <si>
    <t>Total Resistence (K)</t>
  </si>
  <si>
    <t>Total Resistence</t>
  </si>
  <si>
    <t>Added Resistor</t>
  </si>
  <si>
    <t>The total resistance at the voltage divider point (in K)</t>
  </si>
  <si>
    <t>The resistor that must be added to the net of resistor (in K)</t>
  </si>
  <si>
    <t>Botton resistor</t>
  </si>
  <si>
    <t>The resistor required to connect to ground (GND).</t>
  </si>
  <si>
    <t>Top resistor</t>
  </si>
  <si>
    <t>The resistor required to connect to Tune1 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</si>
</sst>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color theme="5" tint="-0.249977111117893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Caratti" id="{41528122-1611-104E-9E28-C3444C57A071}" userId="93901fbe896c5acf" providerId="Windows Live"/>
</personList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5-01-06T13:18:42.64" personId="{41528122-1611-104E-9E28-C3444C57A071}" id="{31A50947-F23D-064F-A3CD-826CA2FD1B9C}">
    <text xml:space="preserve">Set the cell to 1 if you want to use this band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0"/>
  <sheetViews>
    <sheetView tabSelected="1" zoomScale="176" zoomScaleNormal="176" workbookViewId="0">
      <selection activeCell="F5" sqref="F5"/>
    </sheetView>
  </sheetViews>
  <sheetFormatPr baseColWidth="10" defaultColWidth="11.5" defaultRowHeight="13" x14ac:dyDescent="0.15"/>
  <cols>
    <col min="1" max="1" width="14" style="1" bestFit="1" customWidth="1"/>
    <col min="2" max="2" width="10.83203125" style="1" bestFit="1" customWidth="1"/>
    <col min="3" max="3" width="14.83203125" style="1" bestFit="1" customWidth="1"/>
    <col min="4" max="4" width="5" style="2" bestFit="1" customWidth="1"/>
    <col min="5" max="5" width="6.1640625" style="2" bestFit="1" customWidth="1"/>
    <col min="6" max="6" width="12.5" style="2" customWidth="1"/>
    <col min="7" max="7" width="19.1640625" style="2" customWidth="1"/>
    <col min="8" max="8" width="15.6640625" style="2" bestFit="1" customWidth="1"/>
    <col min="9" max="9" width="33.1640625" style="2" customWidth="1"/>
    <col min="10" max="10" width="33" style="2" customWidth="1"/>
    <col min="11" max="16384" width="11.5" style="1"/>
  </cols>
  <sheetData>
    <row r="1" spans="1:10" x14ac:dyDescent="0.1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71</v>
      </c>
      <c r="G1" s="2" t="s">
        <v>76</v>
      </c>
      <c r="H1" s="2" t="s">
        <v>72</v>
      </c>
      <c r="I1" s="2" t="s">
        <v>5</v>
      </c>
      <c r="J1" s="2" t="s">
        <v>6</v>
      </c>
    </row>
    <row r="2" spans="1:10" x14ac:dyDescent="0.15">
      <c r="A2" s="8" t="s">
        <v>74</v>
      </c>
      <c r="B2" s="9"/>
      <c r="C2" s="9"/>
      <c r="D2" s="9"/>
      <c r="E2" s="9"/>
      <c r="F2" s="4"/>
      <c r="G2" s="2">
        <v>47</v>
      </c>
      <c r="H2" s="2">
        <v>47</v>
      </c>
    </row>
    <row r="3" spans="1:10" x14ac:dyDescent="0.15">
      <c r="A3" s="1">
        <v>0</v>
      </c>
      <c r="B3" s="1" t="s">
        <v>7</v>
      </c>
      <c r="C3" s="1" t="s">
        <v>8</v>
      </c>
      <c r="D3" s="2">
        <v>47</v>
      </c>
      <c r="E3" s="2">
        <v>47</v>
      </c>
      <c r="F3" s="2">
        <v>0</v>
      </c>
      <c r="G3" s="2">
        <f t="shared" ref="G3:G43" si="0">E3*F3</f>
        <v>0</v>
      </c>
      <c r="H3" s="2" cm="1">
        <f t="array" ref="H3">AddResistor(G3)</f>
        <v>0</v>
      </c>
      <c r="I3" s="2" t="s">
        <v>9</v>
      </c>
      <c r="J3" s="2" t="s">
        <v>10</v>
      </c>
    </row>
    <row r="4" spans="1:10" x14ac:dyDescent="0.15">
      <c r="A4" s="1">
        <v>1</v>
      </c>
      <c r="B4" s="1" t="s">
        <v>7</v>
      </c>
      <c r="C4" s="1" t="s">
        <v>8</v>
      </c>
      <c r="D4" s="2">
        <v>10</v>
      </c>
      <c r="E4" s="2">
        <f t="shared" ref="E4:E43" si="1">E3+D4</f>
        <v>57</v>
      </c>
      <c r="F4" s="2">
        <v>0</v>
      </c>
      <c r="G4" s="2">
        <f t="shared" si="0"/>
        <v>0</v>
      </c>
      <c r="H4" s="2" cm="1">
        <f t="array" ref="H4">AddResistor(G4)</f>
        <v>0</v>
      </c>
      <c r="I4" s="2" t="s">
        <v>11</v>
      </c>
      <c r="J4" s="2" t="s">
        <v>12</v>
      </c>
    </row>
    <row r="5" spans="1:10" x14ac:dyDescent="0.15">
      <c r="A5" s="1">
        <v>2</v>
      </c>
      <c r="B5" s="1" t="s">
        <v>7</v>
      </c>
      <c r="C5" s="1" t="s">
        <v>8</v>
      </c>
      <c r="D5" s="2">
        <v>10</v>
      </c>
      <c r="E5" s="2">
        <f t="shared" si="1"/>
        <v>67</v>
      </c>
      <c r="F5" s="2">
        <v>0</v>
      </c>
      <c r="G5" s="2">
        <f t="shared" si="0"/>
        <v>0</v>
      </c>
      <c r="H5" s="2" cm="1">
        <f t="array" ref="H5">AddResistor(G5)</f>
        <v>0</v>
      </c>
      <c r="I5" s="2" t="s">
        <v>13</v>
      </c>
      <c r="J5" s="2" t="s">
        <v>10</v>
      </c>
    </row>
    <row r="6" spans="1:10" x14ac:dyDescent="0.15">
      <c r="A6" s="1">
        <v>3</v>
      </c>
      <c r="B6" s="1" t="s">
        <v>7</v>
      </c>
      <c r="C6" s="1" t="s">
        <v>8</v>
      </c>
      <c r="D6" s="2">
        <v>10</v>
      </c>
      <c r="E6" s="2">
        <f t="shared" si="1"/>
        <v>77</v>
      </c>
      <c r="F6" s="2">
        <v>0</v>
      </c>
      <c r="G6" s="2">
        <f t="shared" si="0"/>
        <v>0</v>
      </c>
      <c r="H6" s="2" cm="1">
        <f t="array" ref="H6">AddResistor(G6)</f>
        <v>0</v>
      </c>
      <c r="I6" s="2" t="s">
        <v>14</v>
      </c>
      <c r="J6" s="2" t="s">
        <v>12</v>
      </c>
    </row>
    <row r="7" spans="1:10" x14ac:dyDescent="0.15">
      <c r="A7" s="1">
        <v>4</v>
      </c>
      <c r="B7" s="1" t="s">
        <v>15</v>
      </c>
      <c r="C7" s="1" t="s">
        <v>16</v>
      </c>
      <c r="D7" s="2">
        <v>10</v>
      </c>
      <c r="E7" s="2">
        <f t="shared" si="1"/>
        <v>87</v>
      </c>
      <c r="F7" s="2">
        <v>0</v>
      </c>
      <c r="G7" s="2">
        <f t="shared" si="0"/>
        <v>0</v>
      </c>
      <c r="H7" s="2" cm="1">
        <f t="array" ref="H7">AddResistor(G7)</f>
        <v>0</v>
      </c>
      <c r="I7" s="2" t="s">
        <v>9</v>
      </c>
      <c r="J7" s="2" t="s">
        <v>10</v>
      </c>
    </row>
    <row r="8" spans="1:10" x14ac:dyDescent="0.15">
      <c r="A8" s="1">
        <v>5</v>
      </c>
      <c r="B8" s="1" t="s">
        <v>15</v>
      </c>
      <c r="C8" s="1" t="s">
        <v>16</v>
      </c>
      <c r="D8" s="2">
        <v>10</v>
      </c>
      <c r="E8" s="2">
        <f t="shared" si="1"/>
        <v>97</v>
      </c>
      <c r="F8" s="2">
        <v>1</v>
      </c>
      <c r="G8" s="2">
        <f t="shared" si="0"/>
        <v>97</v>
      </c>
      <c r="H8" s="2" cm="1">
        <f t="array" ref="H8">AddResistor(G8)</f>
        <v>40</v>
      </c>
      <c r="I8" s="2" t="s">
        <v>11</v>
      </c>
      <c r="J8" s="2" t="s">
        <v>12</v>
      </c>
    </row>
    <row r="9" spans="1:10" x14ac:dyDescent="0.15">
      <c r="A9" s="1">
        <v>6</v>
      </c>
      <c r="B9" s="1" t="s">
        <v>15</v>
      </c>
      <c r="C9" s="1" t="s">
        <v>16</v>
      </c>
      <c r="D9" s="2">
        <v>10</v>
      </c>
      <c r="E9" s="2">
        <f t="shared" si="1"/>
        <v>107</v>
      </c>
      <c r="F9" s="2">
        <v>0</v>
      </c>
      <c r="G9" s="2">
        <f t="shared" si="0"/>
        <v>0</v>
      </c>
      <c r="H9" s="2" cm="1">
        <f t="array" ref="H9">AddResistor(G9)</f>
        <v>0</v>
      </c>
      <c r="I9" s="2" t="s">
        <v>13</v>
      </c>
      <c r="J9" s="2" t="s">
        <v>10</v>
      </c>
    </row>
    <row r="10" spans="1:10" x14ac:dyDescent="0.15">
      <c r="A10" s="1">
        <v>7</v>
      </c>
      <c r="B10" s="1" t="s">
        <v>15</v>
      </c>
      <c r="C10" s="1" t="s">
        <v>16</v>
      </c>
      <c r="D10" s="2">
        <v>10</v>
      </c>
      <c r="E10" s="2">
        <f t="shared" si="1"/>
        <v>117</v>
      </c>
      <c r="F10" s="2">
        <v>0</v>
      </c>
      <c r="G10" s="2">
        <f t="shared" si="0"/>
        <v>0</v>
      </c>
      <c r="H10" s="2" cm="1">
        <f t="array" ref="H10">AddResistor(G10)</f>
        <v>0</v>
      </c>
      <c r="I10" s="2" t="s">
        <v>14</v>
      </c>
      <c r="J10" s="2" t="s">
        <v>12</v>
      </c>
    </row>
    <row r="11" spans="1:10" x14ac:dyDescent="0.15">
      <c r="A11" s="1">
        <v>8</v>
      </c>
      <c r="B11" s="1" t="s">
        <v>17</v>
      </c>
      <c r="C11" s="1" t="s">
        <v>18</v>
      </c>
      <c r="D11" s="2">
        <v>10</v>
      </c>
      <c r="E11" s="2">
        <f t="shared" si="1"/>
        <v>127</v>
      </c>
      <c r="F11" s="2">
        <v>0</v>
      </c>
      <c r="G11" s="2">
        <f t="shared" si="0"/>
        <v>0</v>
      </c>
      <c r="H11" s="2" cm="1">
        <f t="array" ref="H11">AddResistor(G11)</f>
        <v>0</v>
      </c>
      <c r="I11" s="2" t="s">
        <v>9</v>
      </c>
      <c r="J11" s="2" t="s">
        <v>10</v>
      </c>
    </row>
    <row r="12" spans="1:10" x14ac:dyDescent="0.15">
      <c r="A12" s="1">
        <v>9</v>
      </c>
      <c r="B12" s="1" t="s">
        <v>17</v>
      </c>
      <c r="C12" s="1" t="s">
        <v>18</v>
      </c>
      <c r="D12" s="2">
        <v>10</v>
      </c>
      <c r="E12" s="2">
        <f t="shared" si="1"/>
        <v>137</v>
      </c>
      <c r="F12" s="2">
        <v>0</v>
      </c>
      <c r="G12" s="2">
        <f t="shared" si="0"/>
        <v>0</v>
      </c>
      <c r="H12" s="2" cm="1">
        <f t="array" ref="H12">AddResistor(G12)</f>
        <v>0</v>
      </c>
      <c r="I12" s="2" t="s">
        <v>11</v>
      </c>
      <c r="J12" s="2" t="s">
        <v>12</v>
      </c>
    </row>
    <row r="13" spans="1:10" x14ac:dyDescent="0.15">
      <c r="A13" s="1">
        <v>10</v>
      </c>
      <c r="B13" s="1" t="s">
        <v>17</v>
      </c>
      <c r="C13" s="1" t="s">
        <v>18</v>
      </c>
      <c r="D13" s="2">
        <v>10</v>
      </c>
      <c r="E13" s="2">
        <f t="shared" si="1"/>
        <v>147</v>
      </c>
      <c r="F13" s="2">
        <v>0</v>
      </c>
      <c r="G13" s="2">
        <f t="shared" si="0"/>
        <v>0</v>
      </c>
      <c r="H13" s="2" cm="1">
        <f t="array" ref="H13">AddResistor(G13)</f>
        <v>0</v>
      </c>
      <c r="I13" s="2" t="s">
        <v>13</v>
      </c>
      <c r="J13" s="2" t="s">
        <v>10</v>
      </c>
    </row>
    <row r="14" spans="1:10" x14ac:dyDescent="0.15">
      <c r="A14" s="1">
        <v>11</v>
      </c>
      <c r="B14" s="1" t="s">
        <v>17</v>
      </c>
      <c r="C14" s="1" t="s">
        <v>18</v>
      </c>
      <c r="D14" s="2">
        <v>10</v>
      </c>
      <c r="E14" s="2">
        <f t="shared" si="1"/>
        <v>157</v>
      </c>
      <c r="F14" s="2">
        <v>0</v>
      </c>
      <c r="G14" s="2">
        <f t="shared" si="0"/>
        <v>0</v>
      </c>
      <c r="H14" s="2" cm="1">
        <f t="array" ref="H14">AddResistor(G14)</f>
        <v>0</v>
      </c>
      <c r="I14" s="2" t="s">
        <v>14</v>
      </c>
      <c r="J14" s="2" t="s">
        <v>12</v>
      </c>
    </row>
    <row r="15" spans="1:10" x14ac:dyDescent="0.15">
      <c r="A15" s="1">
        <v>12</v>
      </c>
      <c r="B15" s="1" t="s">
        <v>19</v>
      </c>
      <c r="C15" s="1" t="s">
        <v>20</v>
      </c>
      <c r="D15" s="2">
        <v>10</v>
      </c>
      <c r="E15" s="2">
        <f t="shared" si="1"/>
        <v>167</v>
      </c>
      <c r="F15" s="2">
        <v>0</v>
      </c>
      <c r="G15" s="2">
        <f t="shared" si="0"/>
        <v>0</v>
      </c>
      <c r="H15" s="2" cm="1">
        <f t="array" ref="H15">AddResistor(G15)</f>
        <v>0</v>
      </c>
      <c r="I15" s="2" t="s">
        <v>9</v>
      </c>
      <c r="J15" s="2" t="s">
        <v>10</v>
      </c>
    </row>
    <row r="16" spans="1:10" x14ac:dyDescent="0.15">
      <c r="A16" s="1">
        <v>13</v>
      </c>
      <c r="B16" s="1" t="s">
        <v>19</v>
      </c>
      <c r="C16" s="1" t="s">
        <v>20</v>
      </c>
      <c r="D16" s="2">
        <v>10</v>
      </c>
      <c r="E16" s="2">
        <f t="shared" si="1"/>
        <v>177</v>
      </c>
      <c r="F16" s="2">
        <v>0</v>
      </c>
      <c r="G16" s="2">
        <f t="shared" si="0"/>
        <v>0</v>
      </c>
      <c r="H16" s="2" cm="1">
        <f t="array" ref="H16">AddResistor(G16)</f>
        <v>0</v>
      </c>
      <c r="I16" s="2" t="s">
        <v>11</v>
      </c>
      <c r="J16" s="2" t="s">
        <v>12</v>
      </c>
    </row>
    <row r="17" spans="1:10" x14ac:dyDescent="0.15">
      <c r="A17" s="1">
        <v>14</v>
      </c>
      <c r="B17" s="1" t="s">
        <v>19</v>
      </c>
      <c r="C17" s="1" t="s">
        <v>20</v>
      </c>
      <c r="D17" s="2">
        <v>10</v>
      </c>
      <c r="E17" s="2">
        <f t="shared" si="1"/>
        <v>187</v>
      </c>
      <c r="F17" s="2">
        <v>0</v>
      </c>
      <c r="G17" s="2">
        <f t="shared" si="0"/>
        <v>0</v>
      </c>
      <c r="H17" s="2" cm="1">
        <f t="array" ref="H17">AddResistor(G17)</f>
        <v>0</v>
      </c>
      <c r="I17" s="2" t="s">
        <v>13</v>
      </c>
      <c r="J17" s="2" t="s">
        <v>10</v>
      </c>
    </row>
    <row r="18" spans="1:10" x14ac:dyDescent="0.15">
      <c r="A18" s="1">
        <v>15</v>
      </c>
      <c r="B18" s="1" t="s">
        <v>19</v>
      </c>
      <c r="C18" s="1" t="s">
        <v>20</v>
      </c>
      <c r="D18" s="2">
        <v>10</v>
      </c>
      <c r="E18" s="2">
        <f t="shared" si="1"/>
        <v>197</v>
      </c>
      <c r="F18" s="2">
        <v>0</v>
      </c>
      <c r="G18" s="2">
        <f t="shared" si="0"/>
        <v>0</v>
      </c>
      <c r="H18" s="2" cm="1">
        <f t="array" ref="H18">AddResistor(G18)</f>
        <v>0</v>
      </c>
      <c r="I18" s="2" t="s">
        <v>14</v>
      </c>
      <c r="J18" s="2" t="s">
        <v>12</v>
      </c>
    </row>
    <row r="19" spans="1:10" x14ac:dyDescent="0.15">
      <c r="A19" s="1">
        <v>16</v>
      </c>
      <c r="B19" s="1" t="s">
        <v>21</v>
      </c>
      <c r="C19" s="1" t="s">
        <v>22</v>
      </c>
      <c r="D19" s="2">
        <v>10</v>
      </c>
      <c r="E19" s="2">
        <f t="shared" si="1"/>
        <v>207</v>
      </c>
      <c r="F19" s="2">
        <v>0</v>
      </c>
      <c r="G19" s="2">
        <f t="shared" si="0"/>
        <v>0</v>
      </c>
      <c r="H19" s="2" cm="1">
        <f t="array" ref="H19">AddResistor(G19)</f>
        <v>0</v>
      </c>
      <c r="I19" s="2" t="s">
        <v>23</v>
      </c>
      <c r="J19" s="2" t="s">
        <v>10</v>
      </c>
    </row>
    <row r="20" spans="1:10" x14ac:dyDescent="0.15">
      <c r="A20" s="1">
        <v>17</v>
      </c>
      <c r="B20" s="1" t="s">
        <v>21</v>
      </c>
      <c r="C20" s="1" t="s">
        <v>22</v>
      </c>
      <c r="D20" s="2">
        <v>10</v>
      </c>
      <c r="E20" s="2">
        <f t="shared" si="1"/>
        <v>217</v>
      </c>
      <c r="F20" s="2">
        <v>0</v>
      </c>
      <c r="G20" s="2">
        <f t="shared" si="0"/>
        <v>0</v>
      </c>
      <c r="H20" s="2" cm="1">
        <f t="array" ref="H20">AddResistor(G20)</f>
        <v>0</v>
      </c>
      <c r="I20" s="2" t="s">
        <v>11</v>
      </c>
      <c r="J20" s="2" t="s">
        <v>12</v>
      </c>
    </row>
    <row r="21" spans="1:10" x14ac:dyDescent="0.15">
      <c r="A21" s="1">
        <v>18</v>
      </c>
      <c r="B21" s="1" t="s">
        <v>21</v>
      </c>
      <c r="C21" s="1" t="s">
        <v>22</v>
      </c>
      <c r="D21" s="2">
        <v>10</v>
      </c>
      <c r="E21" s="2">
        <f t="shared" si="1"/>
        <v>227</v>
      </c>
      <c r="F21" s="2">
        <v>0</v>
      </c>
      <c r="G21" s="2">
        <f t="shared" si="0"/>
        <v>0</v>
      </c>
      <c r="H21" s="2" cm="1">
        <f t="array" ref="H21">AddResistor(G21)</f>
        <v>0</v>
      </c>
      <c r="I21" s="2" t="s">
        <v>13</v>
      </c>
      <c r="J21" s="2" t="s">
        <v>10</v>
      </c>
    </row>
    <row r="22" spans="1:10" x14ac:dyDescent="0.15">
      <c r="A22" s="1">
        <v>19</v>
      </c>
      <c r="B22" s="1" t="s">
        <v>21</v>
      </c>
      <c r="C22" s="1" t="s">
        <v>22</v>
      </c>
      <c r="D22" s="2">
        <v>10</v>
      </c>
      <c r="E22" s="2">
        <f t="shared" si="1"/>
        <v>237</v>
      </c>
      <c r="F22" s="2">
        <v>0</v>
      </c>
      <c r="G22" s="2">
        <f t="shared" si="0"/>
        <v>0</v>
      </c>
      <c r="H22" s="2" cm="1">
        <f t="array" ref="H22">AddResistor(G22)</f>
        <v>0</v>
      </c>
      <c r="I22" s="2" t="s">
        <v>14</v>
      </c>
      <c r="J22" s="2" t="s">
        <v>12</v>
      </c>
    </row>
    <row r="23" spans="1:10" x14ac:dyDescent="0.15">
      <c r="A23" s="1">
        <v>20</v>
      </c>
      <c r="B23" s="1" t="s">
        <v>24</v>
      </c>
      <c r="C23" s="1" t="s">
        <v>25</v>
      </c>
      <c r="D23" s="2">
        <v>10</v>
      </c>
      <c r="E23" s="2">
        <f t="shared" si="1"/>
        <v>247</v>
      </c>
      <c r="F23" s="2">
        <v>0</v>
      </c>
      <c r="G23" s="2">
        <f t="shared" si="0"/>
        <v>0</v>
      </c>
      <c r="H23" s="2" cm="1">
        <f t="array" ref="H23">AddResistor(G23)</f>
        <v>0</v>
      </c>
      <c r="I23" s="2" t="s">
        <v>26</v>
      </c>
      <c r="J23" s="2" t="s">
        <v>27</v>
      </c>
    </row>
    <row r="24" spans="1:10" x14ac:dyDescent="0.15">
      <c r="A24" s="1">
        <v>21</v>
      </c>
      <c r="B24" s="1" t="s">
        <v>28</v>
      </c>
      <c r="C24" s="1" t="s">
        <v>29</v>
      </c>
      <c r="D24" s="2">
        <v>10</v>
      </c>
      <c r="E24" s="2">
        <f t="shared" si="1"/>
        <v>257</v>
      </c>
      <c r="F24" s="2">
        <v>0</v>
      </c>
      <c r="G24" s="2">
        <f t="shared" si="0"/>
        <v>0</v>
      </c>
      <c r="H24" s="2" cm="1">
        <f t="array" ref="H24">AddResistor(G24)</f>
        <v>0</v>
      </c>
      <c r="I24" s="2" t="s">
        <v>30</v>
      </c>
      <c r="J24" s="2" t="s">
        <v>27</v>
      </c>
    </row>
    <row r="25" spans="1:10" x14ac:dyDescent="0.15">
      <c r="A25" s="1">
        <v>22</v>
      </c>
      <c r="B25" s="1" t="s">
        <v>31</v>
      </c>
      <c r="C25" s="1" t="s">
        <v>32</v>
      </c>
      <c r="D25" s="2">
        <v>10</v>
      </c>
      <c r="E25" s="2">
        <f t="shared" si="1"/>
        <v>267</v>
      </c>
      <c r="F25" s="2">
        <v>0</v>
      </c>
      <c r="G25" s="2">
        <f t="shared" si="0"/>
        <v>0</v>
      </c>
      <c r="H25" s="2" cm="1">
        <f t="array" ref="H25">AddResistor(G25)</f>
        <v>0</v>
      </c>
      <c r="I25" s="2" t="s">
        <v>30</v>
      </c>
      <c r="J25" s="2" t="s">
        <v>27</v>
      </c>
    </row>
    <row r="26" spans="1:10" x14ac:dyDescent="0.15">
      <c r="A26" s="1">
        <v>23</v>
      </c>
      <c r="B26" s="1" t="s">
        <v>33</v>
      </c>
      <c r="C26" s="1" t="s">
        <v>34</v>
      </c>
      <c r="D26" s="2">
        <v>10</v>
      </c>
      <c r="E26" s="2">
        <f t="shared" si="1"/>
        <v>277</v>
      </c>
      <c r="F26" s="2">
        <v>0</v>
      </c>
      <c r="G26" s="2">
        <f t="shared" si="0"/>
        <v>0</v>
      </c>
      <c r="H26" s="2" cm="1">
        <f t="array" ref="H26">AddResistor(G26)</f>
        <v>0</v>
      </c>
      <c r="I26" s="2" t="s">
        <v>26</v>
      </c>
      <c r="J26" s="2" t="s">
        <v>27</v>
      </c>
    </row>
    <row r="27" spans="1:10" x14ac:dyDescent="0.15">
      <c r="A27" s="1">
        <v>24</v>
      </c>
      <c r="B27" s="1" t="s">
        <v>35</v>
      </c>
      <c r="C27" s="1" t="s">
        <v>36</v>
      </c>
      <c r="D27" s="2">
        <v>10</v>
      </c>
      <c r="E27" s="2">
        <f t="shared" si="1"/>
        <v>287</v>
      </c>
      <c r="F27" s="2">
        <v>1</v>
      </c>
      <c r="G27" s="2">
        <f t="shared" si="0"/>
        <v>287</v>
      </c>
      <c r="H27" s="2" cm="1">
        <f t="array" ref="H27">AddResistor(G27)</f>
        <v>190</v>
      </c>
      <c r="I27" s="2" t="s">
        <v>26</v>
      </c>
      <c r="J27" s="2" t="s">
        <v>27</v>
      </c>
    </row>
    <row r="28" spans="1:10" x14ac:dyDescent="0.15">
      <c r="A28" s="1">
        <v>25</v>
      </c>
      <c r="B28" s="1" t="s">
        <v>37</v>
      </c>
      <c r="C28" s="1" t="s">
        <v>38</v>
      </c>
      <c r="D28" s="2">
        <v>10</v>
      </c>
      <c r="E28" s="2">
        <f t="shared" si="1"/>
        <v>297</v>
      </c>
      <c r="F28" s="2">
        <v>1</v>
      </c>
      <c r="G28" s="2">
        <f t="shared" si="0"/>
        <v>297</v>
      </c>
      <c r="H28" s="2" cm="1">
        <f t="array" ref="H28">AddResistor(G28)</f>
        <v>10</v>
      </c>
      <c r="I28" s="2" t="s">
        <v>39</v>
      </c>
      <c r="J28" s="2" t="s">
        <v>27</v>
      </c>
    </row>
    <row r="29" spans="1:10" x14ac:dyDescent="0.15">
      <c r="A29" s="1">
        <v>26</v>
      </c>
      <c r="B29" s="1" t="s">
        <v>40</v>
      </c>
      <c r="C29" s="1" t="s">
        <v>41</v>
      </c>
      <c r="D29" s="2">
        <v>10</v>
      </c>
      <c r="E29" s="2">
        <f t="shared" si="1"/>
        <v>307</v>
      </c>
      <c r="F29" s="2">
        <v>0</v>
      </c>
      <c r="G29" s="2">
        <f t="shared" si="0"/>
        <v>0</v>
      </c>
      <c r="H29" s="2" cm="1">
        <f t="array" ref="H29">AddResistor(G29)</f>
        <v>0</v>
      </c>
      <c r="I29" s="2" t="s">
        <v>39</v>
      </c>
      <c r="J29" s="2" t="s">
        <v>27</v>
      </c>
    </row>
    <row r="30" spans="1:10" x14ac:dyDescent="0.15">
      <c r="A30" s="1">
        <v>27</v>
      </c>
      <c r="B30" s="1" t="s">
        <v>42</v>
      </c>
      <c r="C30" s="1" t="s">
        <v>43</v>
      </c>
      <c r="D30" s="2">
        <v>10</v>
      </c>
      <c r="E30" s="2">
        <f t="shared" si="1"/>
        <v>317</v>
      </c>
      <c r="F30" s="2">
        <v>1</v>
      </c>
      <c r="G30" s="2">
        <f t="shared" si="0"/>
        <v>317</v>
      </c>
      <c r="H30" s="2" cm="1">
        <f t="array" ref="H30">AddResistor(G30)</f>
        <v>20</v>
      </c>
      <c r="I30" s="2" t="s">
        <v>39</v>
      </c>
      <c r="J30" s="2" t="s">
        <v>27</v>
      </c>
    </row>
    <row r="31" spans="1:10" x14ac:dyDescent="0.15">
      <c r="A31" s="1">
        <v>28</v>
      </c>
      <c r="B31" s="1" t="s">
        <v>44</v>
      </c>
      <c r="C31" s="1" t="s">
        <v>45</v>
      </c>
      <c r="D31" s="2">
        <v>10</v>
      </c>
      <c r="E31" s="2">
        <f t="shared" si="1"/>
        <v>327</v>
      </c>
      <c r="F31" s="2">
        <v>0</v>
      </c>
      <c r="G31" s="2">
        <f t="shared" si="0"/>
        <v>0</v>
      </c>
      <c r="H31" s="2" cm="1">
        <f t="array" ref="H31">AddResistor(G31)</f>
        <v>0</v>
      </c>
      <c r="I31" s="2" t="s">
        <v>39</v>
      </c>
      <c r="J31" s="2" t="s">
        <v>27</v>
      </c>
    </row>
    <row r="32" spans="1:10" x14ac:dyDescent="0.15">
      <c r="A32" s="1">
        <v>29</v>
      </c>
      <c r="B32" s="1" t="s">
        <v>46</v>
      </c>
      <c r="C32" s="1" t="s">
        <v>47</v>
      </c>
      <c r="D32" s="2">
        <v>10</v>
      </c>
      <c r="E32" s="2">
        <f t="shared" si="1"/>
        <v>337</v>
      </c>
      <c r="F32" s="2">
        <v>1</v>
      </c>
      <c r="G32" s="2">
        <f t="shared" si="0"/>
        <v>337</v>
      </c>
      <c r="H32" s="2" cm="1">
        <f t="array" ref="H32">AddResistor(G32)</f>
        <v>20</v>
      </c>
      <c r="I32" s="2" t="s">
        <v>39</v>
      </c>
      <c r="J32" s="2" t="s">
        <v>27</v>
      </c>
    </row>
    <row r="33" spans="1:10" x14ac:dyDescent="0.15">
      <c r="A33" s="1">
        <v>30</v>
      </c>
      <c r="B33" s="1" t="s">
        <v>48</v>
      </c>
      <c r="C33" s="1" t="s">
        <v>49</v>
      </c>
      <c r="D33" s="2">
        <v>10</v>
      </c>
      <c r="E33" s="2">
        <f t="shared" si="1"/>
        <v>347</v>
      </c>
      <c r="F33" s="2">
        <v>0</v>
      </c>
      <c r="G33" s="2">
        <f t="shared" si="0"/>
        <v>0</v>
      </c>
      <c r="H33" s="2" cm="1">
        <f t="array" ref="H33">AddResistor(G33)</f>
        <v>0</v>
      </c>
      <c r="I33" s="2" t="s">
        <v>39</v>
      </c>
      <c r="J33" s="2" t="s">
        <v>27</v>
      </c>
    </row>
    <row r="34" spans="1:10" x14ac:dyDescent="0.15">
      <c r="A34" s="1">
        <v>31</v>
      </c>
      <c r="B34" s="1" t="s">
        <v>50</v>
      </c>
      <c r="C34" s="1" t="s">
        <v>51</v>
      </c>
      <c r="D34" s="2">
        <v>10</v>
      </c>
      <c r="E34" s="2">
        <f t="shared" si="1"/>
        <v>357</v>
      </c>
      <c r="F34" s="2">
        <v>1</v>
      </c>
      <c r="G34" s="2">
        <f t="shared" si="0"/>
        <v>357</v>
      </c>
      <c r="H34" s="2" cm="1">
        <f t="array" ref="H34">AddResistor(G34)</f>
        <v>20</v>
      </c>
      <c r="I34" s="2" t="s">
        <v>39</v>
      </c>
      <c r="J34" s="2" t="s">
        <v>27</v>
      </c>
    </row>
    <row r="35" spans="1:10" x14ac:dyDescent="0.15">
      <c r="A35" s="1">
        <v>32</v>
      </c>
      <c r="B35" s="1" t="s">
        <v>52</v>
      </c>
      <c r="C35" s="1" t="s">
        <v>53</v>
      </c>
      <c r="D35" s="2">
        <v>10</v>
      </c>
      <c r="E35" s="2">
        <f t="shared" si="1"/>
        <v>367</v>
      </c>
      <c r="F35" s="2">
        <v>0</v>
      </c>
      <c r="G35" s="2">
        <f t="shared" si="0"/>
        <v>0</v>
      </c>
      <c r="H35" s="2" cm="1">
        <f t="array" ref="H35">AddResistor(G35)</f>
        <v>0</v>
      </c>
      <c r="I35" s="2" t="s">
        <v>39</v>
      </c>
      <c r="J35" s="2" t="s">
        <v>27</v>
      </c>
    </row>
    <row r="36" spans="1:10" x14ac:dyDescent="0.15">
      <c r="A36" s="1">
        <v>33</v>
      </c>
      <c r="B36" s="1" t="s">
        <v>54</v>
      </c>
      <c r="C36" s="1" t="s">
        <v>55</v>
      </c>
      <c r="D36" s="2">
        <v>10</v>
      </c>
      <c r="E36" s="2">
        <f t="shared" si="1"/>
        <v>377</v>
      </c>
      <c r="F36" s="2">
        <v>1</v>
      </c>
      <c r="G36" s="2">
        <f t="shared" si="0"/>
        <v>377</v>
      </c>
      <c r="H36" s="2" cm="1">
        <f t="array" ref="H36">AddResistor(G36)</f>
        <v>20</v>
      </c>
      <c r="I36" s="2" t="s">
        <v>39</v>
      </c>
      <c r="J36" s="2" t="s">
        <v>27</v>
      </c>
    </row>
    <row r="37" spans="1:10" x14ac:dyDescent="0.15">
      <c r="A37" s="1">
        <v>34</v>
      </c>
      <c r="B37" s="1" t="s">
        <v>56</v>
      </c>
      <c r="C37" s="1" t="s">
        <v>57</v>
      </c>
      <c r="D37" s="2">
        <v>10</v>
      </c>
      <c r="E37" s="2">
        <f t="shared" si="1"/>
        <v>387</v>
      </c>
      <c r="F37" s="2">
        <v>0</v>
      </c>
      <c r="G37" s="2">
        <f t="shared" si="0"/>
        <v>0</v>
      </c>
      <c r="H37" s="2" cm="1">
        <f t="array" ref="H37">AddResistor(G37)</f>
        <v>0</v>
      </c>
      <c r="I37" s="2" t="s">
        <v>39</v>
      </c>
      <c r="J37" s="2" t="s">
        <v>27</v>
      </c>
    </row>
    <row r="38" spans="1:10" x14ac:dyDescent="0.15">
      <c r="A38" s="1">
        <v>35</v>
      </c>
      <c r="B38" s="1" t="s">
        <v>58</v>
      </c>
      <c r="C38" s="1" t="s">
        <v>59</v>
      </c>
      <c r="D38" s="2">
        <v>10</v>
      </c>
      <c r="E38" s="2">
        <f t="shared" si="1"/>
        <v>397</v>
      </c>
      <c r="F38" s="2">
        <v>0</v>
      </c>
      <c r="G38" s="2">
        <f t="shared" si="0"/>
        <v>0</v>
      </c>
      <c r="H38" s="2" cm="1">
        <f t="array" ref="H38">AddResistor(G38)</f>
        <v>0</v>
      </c>
      <c r="I38" s="2" t="s">
        <v>39</v>
      </c>
      <c r="J38" s="2" t="s">
        <v>27</v>
      </c>
    </row>
    <row r="39" spans="1:10" x14ac:dyDescent="0.15">
      <c r="A39" s="1">
        <v>36</v>
      </c>
      <c r="B39" s="1" t="s">
        <v>60</v>
      </c>
      <c r="C39" s="1" t="s">
        <v>61</v>
      </c>
      <c r="D39" s="2">
        <v>10</v>
      </c>
      <c r="E39" s="2">
        <f t="shared" si="1"/>
        <v>407</v>
      </c>
      <c r="F39" s="2">
        <v>1</v>
      </c>
      <c r="G39" s="2">
        <f t="shared" si="0"/>
        <v>407</v>
      </c>
      <c r="H39" s="2" cm="1">
        <f t="array" ref="H39">AddResistor(G39)</f>
        <v>30</v>
      </c>
      <c r="I39" s="2" t="s">
        <v>39</v>
      </c>
      <c r="J39" s="2" t="s">
        <v>27</v>
      </c>
    </row>
    <row r="40" spans="1:10" x14ac:dyDescent="0.15">
      <c r="A40" s="1">
        <v>37</v>
      </c>
      <c r="B40" s="1" t="s">
        <v>62</v>
      </c>
      <c r="C40" s="1" t="s">
        <v>63</v>
      </c>
      <c r="D40" s="2">
        <v>10</v>
      </c>
      <c r="E40" s="2">
        <f t="shared" si="1"/>
        <v>417</v>
      </c>
      <c r="F40" s="2">
        <v>1</v>
      </c>
      <c r="G40" s="2">
        <f t="shared" si="0"/>
        <v>417</v>
      </c>
      <c r="H40" s="2" cm="1">
        <f t="array" ref="H40">AddResistor(G40)</f>
        <v>10</v>
      </c>
      <c r="I40" s="2" t="s">
        <v>39</v>
      </c>
      <c r="J40" s="2" t="s">
        <v>27</v>
      </c>
    </row>
    <row r="41" spans="1:10" x14ac:dyDescent="0.15">
      <c r="A41" s="1">
        <v>38</v>
      </c>
      <c r="B41" s="1" t="s">
        <v>64</v>
      </c>
      <c r="C41" s="1" t="s">
        <v>65</v>
      </c>
      <c r="D41" s="2">
        <v>10</v>
      </c>
      <c r="E41" s="2">
        <f t="shared" si="1"/>
        <v>427</v>
      </c>
      <c r="F41" s="2">
        <v>0</v>
      </c>
      <c r="G41" s="2">
        <f t="shared" si="0"/>
        <v>0</v>
      </c>
      <c r="H41" s="2" cm="1">
        <f t="array" ref="H41">AddResistor(G41)</f>
        <v>0</v>
      </c>
      <c r="I41" s="2" t="s">
        <v>39</v>
      </c>
      <c r="J41" s="2" t="s">
        <v>27</v>
      </c>
    </row>
    <row r="42" spans="1:10" x14ac:dyDescent="0.15">
      <c r="A42" s="1">
        <v>39</v>
      </c>
      <c r="B42" s="1" t="s">
        <v>66</v>
      </c>
      <c r="C42" s="1" t="s">
        <v>67</v>
      </c>
      <c r="D42" s="2">
        <v>10</v>
      </c>
      <c r="E42" s="2">
        <f t="shared" si="1"/>
        <v>437</v>
      </c>
      <c r="F42" s="2">
        <v>0</v>
      </c>
      <c r="G42" s="2">
        <f t="shared" si="0"/>
        <v>0</v>
      </c>
      <c r="H42" s="2" cm="1">
        <f t="array" ref="H42">AddResistor(G42)</f>
        <v>0</v>
      </c>
      <c r="I42" s="2" t="s">
        <v>39</v>
      </c>
      <c r="J42" s="2" t="s">
        <v>27</v>
      </c>
    </row>
    <row r="43" spans="1:10" x14ac:dyDescent="0.15">
      <c r="A43" s="1">
        <v>40</v>
      </c>
      <c r="B43" s="1" t="s">
        <v>68</v>
      </c>
      <c r="C43" s="1" t="s">
        <v>69</v>
      </c>
      <c r="D43" s="2">
        <v>10</v>
      </c>
      <c r="E43" s="2">
        <f t="shared" si="1"/>
        <v>447</v>
      </c>
      <c r="F43" s="2">
        <v>1</v>
      </c>
      <c r="G43" s="2">
        <f t="shared" si="0"/>
        <v>447</v>
      </c>
      <c r="H43" s="2" cm="1">
        <f t="array" ref="H43">AddResistor(G43)</f>
        <v>30</v>
      </c>
      <c r="I43" s="2" t="s">
        <v>39</v>
      </c>
      <c r="J43" s="2" t="s">
        <v>70</v>
      </c>
    </row>
    <row r="44" spans="1:10" x14ac:dyDescent="0.15">
      <c r="A44" s="8" t="s">
        <v>73</v>
      </c>
      <c r="B44" s="9"/>
      <c r="C44" s="9"/>
      <c r="D44" s="9"/>
      <c r="E44" s="9"/>
      <c r="F44" s="3"/>
      <c r="G44" s="4"/>
      <c r="H44" s="2">
        <f>500-SUM(H2:H43)</f>
        <v>63</v>
      </c>
    </row>
    <row r="46" spans="1:10" x14ac:dyDescent="0.15">
      <c r="A46" s="5" t="s">
        <v>71</v>
      </c>
      <c r="B46" s="6" t="s">
        <v>75</v>
      </c>
      <c r="C46" s="7"/>
      <c r="D46" s="7"/>
      <c r="E46" s="7"/>
      <c r="F46" s="7"/>
      <c r="G46" s="7"/>
      <c r="H46" s="7"/>
    </row>
    <row r="47" spans="1:10" x14ac:dyDescent="0.15">
      <c r="A47" s="5" t="s">
        <v>77</v>
      </c>
      <c r="B47" s="6" t="s">
        <v>79</v>
      </c>
      <c r="C47" s="7"/>
      <c r="D47" s="7"/>
      <c r="E47" s="7"/>
      <c r="F47" s="7"/>
      <c r="G47" s="7"/>
      <c r="H47" s="7"/>
    </row>
    <row r="48" spans="1:10" x14ac:dyDescent="0.15">
      <c r="A48" s="5" t="s">
        <v>78</v>
      </c>
      <c r="B48" s="6" t="s">
        <v>80</v>
      </c>
      <c r="C48" s="7"/>
      <c r="D48" s="7"/>
      <c r="E48" s="7"/>
      <c r="F48" s="7"/>
      <c r="G48" s="7"/>
      <c r="H48" s="7"/>
    </row>
    <row r="49" spans="1:8" x14ac:dyDescent="0.15">
      <c r="A49" s="5" t="s">
        <v>81</v>
      </c>
      <c r="B49" s="6" t="s">
        <v>82</v>
      </c>
      <c r="C49" s="7"/>
      <c r="D49" s="7"/>
      <c r="E49" s="7"/>
      <c r="F49" s="7"/>
      <c r="G49" s="7"/>
      <c r="H49" s="7"/>
    </row>
    <row r="50" spans="1:8" x14ac:dyDescent="0.15">
      <c r="A50" s="5" t="s">
        <v>83</v>
      </c>
      <c r="B50" s="6" t="s">
        <v>84</v>
      </c>
      <c r="C50" s="7"/>
      <c r="D50" s="7"/>
      <c r="E50" s="7"/>
      <c r="F50" s="7"/>
      <c r="G50" s="7"/>
      <c r="H50" s="7"/>
    </row>
  </sheetData>
  <mergeCells count="2">
    <mergeCell ref="A2:E2"/>
    <mergeCell ref="A44:E44"/>
  </mergeCells>
  <conditionalFormatting sqref="F3:H43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tab_band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Ricardo Caratti</cp:lastModifiedBy>
  <cp:revision>1</cp:revision>
  <dcterms:created xsi:type="dcterms:W3CDTF">2025-01-06T14:15:11Z</dcterms:created>
  <dcterms:modified xsi:type="dcterms:W3CDTF">2025-01-06T15:03:16Z</dcterms:modified>
  <dc:language>en-US</dc:language>
</cp:coreProperties>
</file>